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F\Thomas Sharon\Floorplan_Dataset\Real_estate_data\"/>
    </mc:Choice>
  </mc:AlternateContent>
  <xr:revisionPtr revIDLastSave="0" documentId="13_ncr:1_{5C1ACD31-3382-4210-B531-93E3438E37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moScout24 Lis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3" i="1"/>
  <c r="G15" i="1"/>
  <c r="G2" i="1"/>
  <c r="G26" i="1"/>
  <c r="G20" i="1"/>
  <c r="G16" i="1"/>
  <c r="G4" i="1"/>
  <c r="G11" i="1"/>
  <c r="G8" i="1"/>
  <c r="G10" i="1"/>
  <c r="G14" i="1"/>
  <c r="G17" i="1"/>
</calcChain>
</file>

<file path=xl/sharedStrings.xml><?xml version="1.0" encoding="utf-8"?>
<sst xmlns="http://schemas.openxmlformats.org/spreadsheetml/2006/main" count="273" uniqueCount="108">
  <si>
    <t>City/Region</t>
  </si>
  <si>
    <t>Address</t>
  </si>
  <si>
    <t>Energy demand (kWh/m²·a)</t>
  </si>
  <si>
    <t>Year built</t>
  </si>
  <si>
    <t>Floor plan</t>
  </si>
  <si>
    <t>Source link</t>
  </si>
  <si>
    <t>Unknown (Germany)</t>
  </si>
  <si>
    <t>Schönwölkau (Nordsachsen)</t>
  </si>
  <si>
    <t>04509 Schönwölkau</t>
  </si>
  <si>
    <t>199.02</t>
  </si>
  <si>
    <t>1969</t>
  </si>
  <si>
    <t>https://www.immobilienscout24.de/expose/161559655</t>
  </si>
  <si>
    <t>Frankfurt am Main (Bockenheim)</t>
  </si>
  <si>
    <t>Pfingstbrunnenstraße 31, 60486 Frankfurt am Main</t>
  </si>
  <si>
    <t>267</t>
  </si>
  <si>
    <t>https://www.immobilienscout24.de/expose/162053222</t>
  </si>
  <si>
    <t>Travemünde (Lübeck)</t>
  </si>
  <si>
    <t>23570 Lübeck</t>
  </si>
  <si>
    <t>113.3</t>
  </si>
  <si>
    <t>1930</t>
  </si>
  <si>
    <t>https://www.immobilienscout24.de/expose/161975702</t>
  </si>
  <si>
    <t>Hannover (Vahrenwald-List)</t>
  </si>
  <si>
    <t>17.9</t>
  </si>
  <si>
    <t>2018</t>
  </si>
  <si>
    <t>https://www.immobilienscout24.de/expose/151631969</t>
  </si>
  <si>
    <t>https://www.immobilienscout24.de/expose/156900365</t>
  </si>
  <si>
    <t>Hamburg (Groß Flottbek)</t>
  </si>
  <si>
    <t>Osdorfer Weg 21, 22607 Hamburg</t>
  </si>
  <si>
    <t>139</t>
  </si>
  <si>
    <t>1952</t>
  </si>
  <si>
    <t>https://www.immobilienscout24.de/expose/162088660</t>
  </si>
  <si>
    <t>https://www.immobilienscout24.de/expose/162283935</t>
  </si>
  <si>
    <t>https://www.immobilienscout24.de/expose/159208078</t>
  </si>
  <si>
    <t>Bensheim-Auerbach (Bergstraße)</t>
  </si>
  <si>
    <t>64625 Bensheim</t>
  </si>
  <si>
    <t>127.7</t>
  </si>
  <si>
    <t>https://www.immobilienscout24.de/expose/161077447</t>
  </si>
  <si>
    <t>Limbach-Oberfrohna (Zwickau Kreis)</t>
  </si>
  <si>
    <t>Lindenstraße 18, 09212 Limbach-Oberfrohna</t>
  </si>
  <si>
    <t>Kiel-Wellingdorf (Schleswig-Holstein)</t>
  </si>
  <si>
    <t>24148 Kiel</t>
  </si>
  <si>
    <t>Bochum (Kruppwerke)</t>
  </si>
  <si>
    <t>An der Maarbrücke 1, 44793 Bochum</t>
  </si>
  <si>
    <t>Footprint link</t>
  </si>
  <si>
    <t>—</t>
  </si>
  <si>
    <t>Gerstetten (Heidenheim)</t>
  </si>
  <si>
    <t>Berlin–Spandau (Wilhelmstadt, Neubau)</t>
  </si>
  <si>
    <t>— (Leerstehendes MFH; 22 Zi.)</t>
  </si>
  <si>
    <t>Caputh-Schwielowsee</t>
  </si>
  <si>
    <t>Aldingen (Tuttlingen)</t>
  </si>
  <si>
    <t>Sylt (Westerland)</t>
  </si>
  <si>
    <t>Leipzig (Altlindenau)</t>
  </si>
  <si>
    <t>Bad Schwalbach (Beispiel mit PDF)</t>
  </si>
  <si>
    <t>Großes Apartmenthaus (36 Zi.)</t>
  </si>
  <si>
    <t>Klütz</t>
  </si>
  <si>
    <t>+</t>
  </si>
  <si>
    <t>Grafing b. München</t>
  </si>
  <si>
    <t>Form</t>
  </si>
  <si>
    <t>W</t>
  </si>
  <si>
    <t>N</t>
  </si>
  <si>
    <t>Podbielskistraße 61 30177 Hannover</t>
  </si>
  <si>
    <t>Area</t>
  </si>
  <si>
    <t>42349 Wuppertal</t>
  </si>
  <si>
    <t>Rennbaumer Straße 45</t>
  </si>
  <si>
    <t>N (gehoben)</t>
  </si>
  <si>
    <t>Ratzeburg</t>
  </si>
  <si>
    <t>Matthias-Claudius-Straße 9</t>
  </si>
  <si>
    <t>-</t>
  </si>
  <si>
    <t>PDF Seite 18</t>
  </si>
  <si>
    <t>PDF Seite 4</t>
  </si>
  <si>
    <t>Buxtehude</t>
  </si>
  <si>
    <t>Kantstraße 2</t>
  </si>
  <si>
    <t>Sno</t>
  </si>
  <si>
    <t>All good</t>
  </si>
  <si>
    <t>Göppingen (Kreis)</t>
  </si>
  <si>
    <t>73087 Bad Boll, Göppingen (Kreis)</t>
  </si>
  <si>
    <t>https://www.immobilienscout24.de/Suche/controller/exposeNavigation/goToExpose.go?exposeId=165235574&amp;searchUrl=%2FSuche%2Fde%2Fmehrfamilienhaus-kaufen%3Fpagenumber%3D4%26enteredFrom%3Dresult_list&amp;referrer=HYBRID_VIEW_LISTING&amp;searchType=district</t>
  </si>
  <si>
    <t>https://www.immobilienscout24.de/Suche/controller/exposeNavigation/goToExpose.go?exposeId=166508101&amp;searchUrl=%2FSuche%2Fde%2Fmehrfamilienhaus-kaufen%3Fpagenumber%3D4%26enteredFrom%3Dresult_list&amp;referrer=HYBRID_VIEW_LISTING&amp;searchType=district</t>
  </si>
  <si>
    <t>Hohenwart, 75181 Pforzheim</t>
  </si>
  <si>
    <t>Hohenwart</t>
  </si>
  <si>
    <t>https://www.immobilienscout24.de/expose/159588618#/</t>
  </si>
  <si>
    <t>Friedrichshain, 10249 Berlin.</t>
  </si>
  <si>
    <t>Berlin</t>
  </si>
  <si>
    <t>06712 Zeitz, Burgenlandkreis.</t>
  </si>
  <si>
    <t>Burgenlandkreis.</t>
  </si>
  <si>
    <t>https://www.immobilienscout24.de/expose/165467055#/</t>
  </si>
  <si>
    <t>Hiltrup-West, 48165 Münster.</t>
  </si>
  <si>
    <t>Münster</t>
  </si>
  <si>
    <t>https://www.immobilienscout24.de/expose/166582789#/</t>
  </si>
  <si>
    <t>https://www.immobilienscout24.de/expose/166862893?utm_medium=social&amp;utm_campaign=expose_sharing&amp;utm_content=expose_toolbar&amp;utm_source=other&amp;referrer=taf#/</t>
  </si>
  <si>
    <t>Stoppenberg, 45141 Essen</t>
  </si>
  <si>
    <t>Essen</t>
  </si>
  <si>
    <t>Wahnheide, 51147 Cologne.</t>
  </si>
  <si>
    <t>Köln</t>
  </si>
  <si>
    <t>https://www.immobilienscout24.de/expose/167041387?utm_medium=social&amp;utm_campaign=expose_sharing&amp;utm_content=expose_toolbar&amp;utm_source=other&amp;referrer=taf#/</t>
  </si>
  <si>
    <t>Paunsdorf, 04328 Leipzig.</t>
  </si>
  <si>
    <t>https://www.immobilienscout24.de/expose/166883138?utm_source=chatgpt.com#/</t>
  </si>
  <si>
    <t>https://www.immobilienscout24.de/expose/167362492?utm_source=chatgpt.com#/</t>
  </si>
  <si>
    <t>27404 Zeven, Rotenburg (Wümme</t>
  </si>
  <si>
    <t>Wümme</t>
  </si>
  <si>
    <t>50374 Erftstadt, Rhein-Erft-Kreis</t>
  </si>
  <si>
    <t>Rhein-Erft-Kreis</t>
  </si>
  <si>
    <t>https://www.immobilienscout24.de/expose/167277455?utm_source=chatgpt.com#/</t>
  </si>
  <si>
    <t>06295 Lutherstadt Eisleben, Mansfeld-Südharz</t>
  </si>
  <si>
    <t>https://www.immobilienscout24.de/expose/167718593?utm_source=chatgpt.com#/</t>
  </si>
  <si>
    <t>Mansfeld-Südharz</t>
  </si>
  <si>
    <t>Validation status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</si>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</sst>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68FE8-2227-4F6F-94FD-91B6BE6D6CF5}" name="Tabelle1" displayName="Tabelle1" ref="B1:K41" totalsRowShown="0" headerRowDxfId="4">
  <autoFilter ref="B1:K41" xr:uid="{57D68FE8-2227-4F6F-94FD-91B6BE6D6CF5}"/>
  <sortState xmlns:xlrd2="http://schemas.microsoft.com/office/spreadsheetml/2017/richdata2" ref="B2:H35">
    <sortCondition ref="B1:B35"/>
  </sortState>
  <tableColumns count="10">
    <tableColumn id="1" xr3:uid="{446C44C4-CFA8-4B66-86E3-777B0AF183B2}" name="City/Region"/>
    <tableColumn id="2" xr3:uid="{26E2E681-7611-4129-A900-C1C9A3FFC54C}" name="Address"/>
    <tableColumn id="3" xr3:uid="{DC2C2FAB-084C-4D0A-975D-02EC392CBFD3}" name="Energy demand (kWh/m²·a)" dataDxfId="3"/>
    <tableColumn id="4" xr3:uid="{254323EC-9422-4423-AD23-B88E1E18EF00}" name="Year built" dataDxfId="2"/>
    <tableColumn id="5" xr3:uid="{C4E7E8EC-E41B-4BAE-81D7-D80641D3FDF6}" name="Floor plan" dataDxfId="1"/>
    <tableColumn id="6" xr3:uid="{4AA6336A-3AAD-4379-B568-F9BA9196D6BD}" name="Source link"/>
    <tableColumn id="7" xr3:uid="{87547520-BFC7-49BB-98AF-0A656EF9D5C3}" name="Footprint link"/>
    <tableColumn id="8" xr3:uid="{90C768AD-0074-4550-8D75-2695CF233F71}" name="Form"/>
    <tableColumn id="10" xr3:uid="{5D643FF2-62F8-459A-8F71-1EB111D77D82}" name="Area"/>
    <tableColumn id="11" xr3:uid="{5CA8B924-4F84-4F70-8151-0E7B71C1B9E5}" name="Validation statu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mmobilienscout24.de/expose/159208078" TargetMode="External"/><Relationship Id="rId13" Type="http://schemas.openxmlformats.org/officeDocument/2006/relationships/hyperlink" Target="https://www.immobilienscout24.de/expose/160046119" TargetMode="External"/><Relationship Id="rId3" Type="http://schemas.openxmlformats.org/officeDocument/2006/relationships/hyperlink" Target="https://www.immobilienscout24.de/expose/161975702" TargetMode="External"/><Relationship Id="rId7" Type="http://schemas.openxmlformats.org/officeDocument/2006/relationships/hyperlink" Target="https://www.immobilienscout24.de/expose/162283935" TargetMode="External"/><Relationship Id="rId12" Type="http://schemas.openxmlformats.org/officeDocument/2006/relationships/hyperlink" Target="https://www.immobilienscout24.de/expose/154289519" TargetMode="External"/><Relationship Id="rId2" Type="http://schemas.openxmlformats.org/officeDocument/2006/relationships/hyperlink" Target="https://www.immobilienscout24.de/expose/162053222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www.immobilienscout24.de/expose/161559655" TargetMode="External"/><Relationship Id="rId6" Type="http://schemas.openxmlformats.org/officeDocument/2006/relationships/hyperlink" Target="https://www.immobilienscout24.de/expose/162088660" TargetMode="External"/><Relationship Id="rId11" Type="http://schemas.openxmlformats.org/officeDocument/2006/relationships/hyperlink" Target="https://www.immobilienscout24.de/expose/161933067" TargetMode="External"/><Relationship Id="rId5" Type="http://schemas.openxmlformats.org/officeDocument/2006/relationships/hyperlink" Target="https://www.immobilienscout24.de/expose/156900365" TargetMode="External"/><Relationship Id="rId15" Type="http://schemas.openxmlformats.org/officeDocument/2006/relationships/hyperlink" Target="https://www.immobilienscout24.de/expose/161178129" TargetMode="External"/><Relationship Id="rId10" Type="http://schemas.openxmlformats.org/officeDocument/2006/relationships/hyperlink" Target="https://www.immobilienscout24.de/expose/161050974" TargetMode="External"/><Relationship Id="rId4" Type="http://schemas.openxmlformats.org/officeDocument/2006/relationships/hyperlink" Target="https://www.immobilienscout24.de/expose/151631969" TargetMode="External"/><Relationship Id="rId9" Type="http://schemas.openxmlformats.org/officeDocument/2006/relationships/hyperlink" Target="https://www.immobilienscout24.de/expose/161077447" TargetMode="External"/><Relationship Id="rId14" Type="http://schemas.openxmlformats.org/officeDocument/2006/relationships/hyperlink" Target="https://www.immobilienscout24.de/expose/150289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A2" zoomScaleNormal="100" workbookViewId="0">
      <selection activeCell="H2" sqref="H2:H41"/>
    </sheetView>
  </sheetViews>
  <sheetFormatPr defaultColWidth="9.109375" defaultRowHeight="14.4" x14ac:dyDescent="0.3"/>
  <cols>
    <col min="1" max="1" width="3.88671875" bestFit="1" customWidth="1"/>
    <col min="2" max="2" width="36.5546875" customWidth="1"/>
    <col min="3" max="3" width="43.6640625" customWidth="1"/>
    <col min="4" max="4" width="29.88671875" style="9" bestFit="1" customWidth="1"/>
    <col min="5" max="5" width="13.77734375" style="9" bestFit="1" customWidth="1"/>
    <col min="6" max="6" width="14" style="2" bestFit="1" customWidth="1"/>
    <col min="7" max="7" width="23.88671875" customWidth="1"/>
    <col min="8" max="8" width="14.44140625" bestFit="1" customWidth="1"/>
    <col min="9" max="9" width="25.6640625" bestFit="1" customWidth="1"/>
    <col min="11" max="11" width="20" style="2" bestFit="1" customWidth="1"/>
  </cols>
  <sheetData>
    <row r="1" spans="1:11" ht="15" thickBot="1" x14ac:dyDescent="0.35">
      <c r="A1" s="12" t="s">
        <v>72</v>
      </c>
      <c r="B1" s="3" t="s">
        <v>0</v>
      </c>
      <c r="C1" s="3" t="s">
        <v>1</v>
      </c>
      <c r="D1" s="10" t="s">
        <v>2</v>
      </c>
      <c r="E1" s="10" t="s">
        <v>3</v>
      </c>
      <c r="F1" s="3" t="s">
        <v>4</v>
      </c>
      <c r="G1" s="3" t="s">
        <v>5</v>
      </c>
      <c r="H1" s="4" t="s">
        <v>43</v>
      </c>
      <c r="I1" s="11" t="s">
        <v>57</v>
      </c>
      <c r="J1" s="11" t="s">
        <v>61</v>
      </c>
      <c r="K1" s="11" t="s">
        <v>106</v>
      </c>
    </row>
    <row r="2" spans="1:11" s="2" customFormat="1" ht="16.2" thickTop="1" x14ac:dyDescent="0.3">
      <c r="A2" s="13">
        <v>1</v>
      </c>
      <c r="B2" s="8" t="s">
        <v>47</v>
      </c>
      <c r="C2" s="8" t="s">
        <v>44</v>
      </c>
      <c r="D2" s="5" t="s">
        <v>44</v>
      </c>
      <c r="E2" s="9">
        <v>1938</v>
      </c>
      <c r="F2" s="5" t="s">
        <v>55</v>
      </c>
      <c r="G2" s="1" t="str">
        <f>HYPERLINK("https://www.immobilienscout24.de/expose/162115940")</f>
        <v>https://www.immobilienscout24.de/expose/162115940</v>
      </c>
      <c r="H2">
        <v>1</v>
      </c>
      <c r="I2" s="2" t="s">
        <v>58</v>
      </c>
      <c r="J2">
        <v>257.90300000000002</v>
      </c>
      <c r="K2" s="15" t="s">
        <v>107</v>
      </c>
    </row>
    <row r="3" spans="1:11" ht="15.6" x14ac:dyDescent="0.3">
      <c r="A3" s="13">
        <v>2</v>
      </c>
      <c r="B3" t="s">
        <v>49</v>
      </c>
      <c r="C3" t="s">
        <v>44</v>
      </c>
      <c r="D3" s="9" t="s">
        <v>44</v>
      </c>
      <c r="E3" s="9">
        <v>1967</v>
      </c>
      <c r="F3" s="2" t="s">
        <v>55</v>
      </c>
      <c r="G3" s="1" t="str">
        <f>HYPERLINK("https://www.immobilienscout24.de/expose/160244238")</f>
        <v>https://www.immobilienscout24.de/expose/160244238</v>
      </c>
      <c r="H3">
        <v>2</v>
      </c>
      <c r="I3" t="s">
        <v>59</v>
      </c>
      <c r="J3">
        <v>167.17699999999999</v>
      </c>
      <c r="K3" s="14" t="s">
        <v>73</v>
      </c>
    </row>
    <row r="4" spans="1:11" ht="15.6" x14ac:dyDescent="0.3">
      <c r="A4" s="13">
        <v>3</v>
      </c>
      <c r="B4" s="8" t="s">
        <v>52</v>
      </c>
      <c r="C4" s="8" t="s">
        <v>44</v>
      </c>
      <c r="D4" s="5" t="s">
        <v>44</v>
      </c>
      <c r="E4" s="5">
        <v>1950</v>
      </c>
      <c r="F4" s="6" t="s">
        <v>55</v>
      </c>
      <c r="G4" s="1" t="str">
        <f>HYPERLINK("https://www.immobilienscout24.de/expose/154289519")</f>
        <v>https://www.immobilienscout24.de/expose/154289519</v>
      </c>
      <c r="H4">
        <v>3</v>
      </c>
      <c r="I4" t="s">
        <v>64</v>
      </c>
      <c r="J4">
        <v>167.46899999999999</v>
      </c>
      <c r="K4" s="14" t="s">
        <v>73</v>
      </c>
    </row>
    <row r="5" spans="1:11" ht="15.6" x14ac:dyDescent="0.3">
      <c r="A5" s="13">
        <v>4</v>
      </c>
      <c r="B5" t="s">
        <v>33</v>
      </c>
      <c r="C5" t="s">
        <v>34</v>
      </c>
      <c r="D5" s="9" t="s">
        <v>35</v>
      </c>
      <c r="E5" s="9">
        <v>1950</v>
      </c>
      <c r="F5" s="2" t="s">
        <v>55</v>
      </c>
      <c r="G5" s="1" t="s">
        <v>36</v>
      </c>
      <c r="H5">
        <v>4</v>
      </c>
      <c r="I5" t="s">
        <v>59</v>
      </c>
      <c r="J5">
        <v>123.8</v>
      </c>
      <c r="K5" s="14" t="s">
        <v>73</v>
      </c>
    </row>
    <row r="6" spans="1:11" ht="15.6" x14ac:dyDescent="0.3">
      <c r="A6" s="13">
        <v>5</v>
      </c>
      <c r="B6" s="8" t="s">
        <v>46</v>
      </c>
      <c r="C6" s="8" t="s">
        <v>44</v>
      </c>
      <c r="D6" s="5" t="s">
        <v>44</v>
      </c>
      <c r="E6" s="9">
        <v>2025</v>
      </c>
      <c r="F6" s="5" t="s">
        <v>55</v>
      </c>
      <c r="G6" s="1" t="str">
        <f>HYPERLINK("https://www.immobilienscout24.de/expose/161290973")</f>
        <v>https://www.immobilienscout24.de/expose/161290973</v>
      </c>
      <c r="H6">
        <v>5</v>
      </c>
      <c r="I6" t="s">
        <v>59</v>
      </c>
      <c r="J6">
        <v>156.54</v>
      </c>
      <c r="K6" s="14" t="s">
        <v>73</v>
      </c>
    </row>
    <row r="7" spans="1:11" ht="15.6" x14ac:dyDescent="0.3">
      <c r="A7" s="13">
        <v>6</v>
      </c>
      <c r="B7" t="s">
        <v>41</v>
      </c>
      <c r="C7" t="s">
        <v>42</v>
      </c>
      <c r="D7" s="9">
        <v>147</v>
      </c>
      <c r="E7" s="9">
        <v>1949</v>
      </c>
      <c r="F7" s="2" t="s">
        <v>55</v>
      </c>
      <c r="G7" s="1" t="str">
        <f>HYPERLINK("https://www.immobilienscout24.de/expose/161869176")</f>
        <v>https://www.immobilienscout24.de/expose/161869176</v>
      </c>
      <c r="H7">
        <v>6</v>
      </c>
      <c r="I7" t="s">
        <v>59</v>
      </c>
      <c r="J7">
        <v>162.5</v>
      </c>
      <c r="K7" s="14" t="s">
        <v>73</v>
      </c>
    </row>
    <row r="8" spans="1:11" ht="15.6" x14ac:dyDescent="0.3">
      <c r="A8" s="13">
        <v>7</v>
      </c>
      <c r="B8" t="s">
        <v>48</v>
      </c>
      <c r="C8" t="s">
        <v>44</v>
      </c>
      <c r="D8" s="9" t="s">
        <v>44</v>
      </c>
      <c r="E8" s="9">
        <v>1925</v>
      </c>
      <c r="F8" s="2" t="s">
        <v>55</v>
      </c>
      <c r="G8" s="1" t="str">
        <f>HYPERLINK("https://www.immobilienscout24.de/expose/122620770")</f>
        <v>https://www.immobilienscout24.de/expose/122620770</v>
      </c>
      <c r="H8">
        <v>7</v>
      </c>
      <c r="I8" t="s">
        <v>59</v>
      </c>
      <c r="J8">
        <v>165</v>
      </c>
      <c r="K8" s="14" t="s">
        <v>73</v>
      </c>
    </row>
    <row r="9" spans="1:11" ht="15.6" x14ac:dyDescent="0.3">
      <c r="A9" s="13">
        <v>8</v>
      </c>
      <c r="B9" t="s">
        <v>12</v>
      </c>
      <c r="C9" t="s">
        <v>13</v>
      </c>
      <c r="D9" s="9" t="s">
        <v>14</v>
      </c>
      <c r="E9" s="9">
        <v>1920</v>
      </c>
      <c r="F9" s="2" t="s">
        <v>55</v>
      </c>
      <c r="G9" s="1" t="s">
        <v>15</v>
      </c>
      <c r="H9">
        <v>8</v>
      </c>
      <c r="I9" t="s">
        <v>59</v>
      </c>
      <c r="J9">
        <v>114</v>
      </c>
      <c r="K9" s="14" t="s">
        <v>73</v>
      </c>
    </row>
    <row r="10" spans="1:11" ht="15.6" x14ac:dyDescent="0.3">
      <c r="A10" s="13">
        <v>9</v>
      </c>
      <c r="B10" s="8" t="s">
        <v>45</v>
      </c>
      <c r="C10" s="8" t="s">
        <v>44</v>
      </c>
      <c r="D10" s="5" t="s">
        <v>44</v>
      </c>
      <c r="E10" s="9">
        <v>1958</v>
      </c>
      <c r="F10" s="5" t="s">
        <v>55</v>
      </c>
      <c r="G10" s="1" t="str">
        <f>HYPERLINK("https://www.immobilienscout24.de/expose/161995608")</f>
        <v>https://www.immobilienscout24.de/expose/161995608</v>
      </c>
      <c r="H10">
        <v>9</v>
      </c>
      <c r="I10" t="s">
        <v>59</v>
      </c>
      <c r="J10">
        <v>237.98</v>
      </c>
      <c r="K10" s="15" t="s">
        <v>107</v>
      </c>
    </row>
    <row r="11" spans="1:11" ht="15.6" x14ac:dyDescent="0.3">
      <c r="A11" s="13">
        <v>10</v>
      </c>
      <c r="B11" s="8" t="s">
        <v>53</v>
      </c>
      <c r="C11" s="8" t="s">
        <v>44</v>
      </c>
      <c r="D11" s="5" t="s">
        <v>44</v>
      </c>
      <c r="E11" s="5">
        <v>1953</v>
      </c>
      <c r="F11" s="6" t="s">
        <v>55</v>
      </c>
      <c r="G11" s="1" t="str">
        <f>HYPERLINK("https://www.immobilienscout24.de/expose/160046119")</f>
        <v>https://www.immobilienscout24.de/expose/160046119</v>
      </c>
      <c r="H11">
        <v>10</v>
      </c>
      <c r="I11" t="s">
        <v>59</v>
      </c>
      <c r="J11">
        <v>209.68</v>
      </c>
      <c r="K11" s="14" t="s">
        <v>73</v>
      </c>
    </row>
    <row r="12" spans="1:11" ht="15.6" x14ac:dyDescent="0.3">
      <c r="A12" s="13">
        <v>11</v>
      </c>
      <c r="B12" t="s">
        <v>26</v>
      </c>
      <c r="C12" t="s">
        <v>27</v>
      </c>
      <c r="D12" s="9" t="s">
        <v>28</v>
      </c>
      <c r="E12" s="9" t="s">
        <v>29</v>
      </c>
      <c r="F12" s="2" t="s">
        <v>55</v>
      </c>
      <c r="G12" s="1" t="s">
        <v>30</v>
      </c>
      <c r="H12">
        <v>11</v>
      </c>
      <c r="I12" t="s">
        <v>59</v>
      </c>
      <c r="J12">
        <v>218.37100000000001</v>
      </c>
      <c r="K12" s="15" t="s">
        <v>107</v>
      </c>
    </row>
    <row r="13" spans="1:11" ht="15.6" x14ac:dyDescent="0.3">
      <c r="A13" s="13">
        <v>12</v>
      </c>
      <c r="B13" t="s">
        <v>21</v>
      </c>
      <c r="C13" t="s">
        <v>60</v>
      </c>
      <c r="D13" s="9" t="s">
        <v>22</v>
      </c>
      <c r="E13" s="9" t="s">
        <v>23</v>
      </c>
      <c r="F13" s="2" t="s">
        <v>55</v>
      </c>
      <c r="G13" s="1" t="s">
        <v>24</v>
      </c>
      <c r="H13">
        <v>12</v>
      </c>
      <c r="I13" t="s">
        <v>59</v>
      </c>
      <c r="J13">
        <v>161</v>
      </c>
      <c r="K13" s="14" t="s">
        <v>73</v>
      </c>
    </row>
    <row r="14" spans="1:11" x14ac:dyDescent="0.3">
      <c r="A14" s="13">
        <v>13</v>
      </c>
      <c r="B14" t="s">
        <v>39</v>
      </c>
      <c r="C14" t="s">
        <v>40</v>
      </c>
      <c r="D14" s="5" t="s">
        <v>44</v>
      </c>
      <c r="E14" s="9">
        <v>1905</v>
      </c>
      <c r="F14" s="2" t="s">
        <v>55</v>
      </c>
      <c r="G14" t="str">
        <f>HYPERLINK("https://www.immobilienscout24.de/expose/161598224")</f>
        <v>https://www.immobilienscout24.de/expose/161598224</v>
      </c>
      <c r="H14">
        <v>13</v>
      </c>
      <c r="I14" t="s">
        <v>59</v>
      </c>
      <c r="J14">
        <v>120.11199999999999</v>
      </c>
      <c r="K14" s="14" t="s">
        <v>73</v>
      </c>
    </row>
    <row r="15" spans="1:11" ht="15.6" x14ac:dyDescent="0.3">
      <c r="A15" s="13">
        <v>14</v>
      </c>
      <c r="B15" s="8" t="s">
        <v>54</v>
      </c>
      <c r="C15" s="8" t="s">
        <v>44</v>
      </c>
      <c r="D15" s="5" t="s">
        <v>44</v>
      </c>
      <c r="E15" s="9">
        <v>1902</v>
      </c>
      <c r="F15" s="5" t="s">
        <v>55</v>
      </c>
      <c r="G15" s="1" t="str">
        <f>HYPERLINK("https://www.immobilienscout24.de/expose/150289878")</f>
        <v>https://www.immobilienscout24.de/expose/150289878</v>
      </c>
      <c r="H15">
        <v>14</v>
      </c>
      <c r="I15" t="s">
        <v>59</v>
      </c>
      <c r="J15">
        <v>155</v>
      </c>
      <c r="K15" s="14" t="s">
        <v>73</v>
      </c>
    </row>
    <row r="16" spans="1:11" ht="15.6" x14ac:dyDescent="0.3">
      <c r="A16" s="13">
        <v>15</v>
      </c>
      <c r="B16" s="8" t="s">
        <v>51</v>
      </c>
      <c r="C16" s="8" t="s">
        <v>44</v>
      </c>
      <c r="D16" s="5" t="s">
        <v>44</v>
      </c>
      <c r="E16" s="5">
        <v>1901</v>
      </c>
      <c r="F16" s="5" t="s">
        <v>55</v>
      </c>
      <c r="G16" s="1" t="str">
        <f>HYPERLINK("https://www.immobilienscout24.de/expose/161933067")</f>
        <v>https://www.immobilienscout24.de/expose/161933067</v>
      </c>
      <c r="H16">
        <v>15</v>
      </c>
      <c r="I16" t="s">
        <v>59</v>
      </c>
      <c r="J16">
        <v>194.26</v>
      </c>
      <c r="K16" s="15" t="s">
        <v>107</v>
      </c>
    </row>
    <row r="17" spans="1:11" ht="15.6" x14ac:dyDescent="0.3">
      <c r="A17" s="13">
        <v>16</v>
      </c>
      <c r="B17" t="s">
        <v>37</v>
      </c>
      <c r="C17" t="s">
        <v>38</v>
      </c>
      <c r="D17" s="9">
        <v>208.53</v>
      </c>
      <c r="E17" s="9">
        <v>1934</v>
      </c>
      <c r="F17" s="2" t="s">
        <v>55</v>
      </c>
      <c r="G17" s="1" t="str">
        <f>HYPERLINK("https://www.immobilienscout24.de/expose/162284838")</f>
        <v>https://www.immobilienscout24.de/expose/162284838</v>
      </c>
      <c r="H17">
        <v>16</v>
      </c>
      <c r="I17" t="s">
        <v>59</v>
      </c>
      <c r="J17">
        <v>160</v>
      </c>
      <c r="K17" s="14" t="s">
        <v>73</v>
      </c>
    </row>
    <row r="18" spans="1:11" ht="15.6" x14ac:dyDescent="0.3">
      <c r="A18" s="13">
        <v>17</v>
      </c>
      <c r="B18" t="s">
        <v>65</v>
      </c>
      <c r="C18" t="s">
        <v>66</v>
      </c>
      <c r="D18" s="9" t="s">
        <v>67</v>
      </c>
      <c r="E18" s="9">
        <v>1996</v>
      </c>
      <c r="F18" s="2" t="s">
        <v>55</v>
      </c>
      <c r="G18" s="1" t="s">
        <v>68</v>
      </c>
      <c r="H18">
        <v>17</v>
      </c>
      <c r="I18" t="s">
        <v>59</v>
      </c>
      <c r="J18">
        <v>201.44499999999999</v>
      </c>
      <c r="K18" s="14" t="s">
        <v>73</v>
      </c>
    </row>
    <row r="19" spans="1:11" ht="15.6" x14ac:dyDescent="0.3">
      <c r="A19" s="13">
        <v>18</v>
      </c>
      <c r="B19" t="s">
        <v>7</v>
      </c>
      <c r="C19" t="s">
        <v>8</v>
      </c>
      <c r="D19" s="9" t="s">
        <v>9</v>
      </c>
      <c r="E19" s="9" t="s">
        <v>10</v>
      </c>
      <c r="F19" s="2" t="s">
        <v>55</v>
      </c>
      <c r="G19" s="1" t="s">
        <v>11</v>
      </c>
      <c r="H19">
        <v>18</v>
      </c>
      <c r="I19" t="s">
        <v>59</v>
      </c>
      <c r="J19">
        <v>151</v>
      </c>
      <c r="K19" s="14" t="s">
        <v>73</v>
      </c>
    </row>
    <row r="20" spans="1:11" ht="15.6" x14ac:dyDescent="0.3">
      <c r="A20" s="13">
        <v>19</v>
      </c>
      <c r="B20" s="8" t="s">
        <v>50</v>
      </c>
      <c r="C20" s="8" t="s">
        <v>44</v>
      </c>
      <c r="D20" s="5">
        <v>150</v>
      </c>
      <c r="E20" s="5">
        <v>1972</v>
      </c>
      <c r="F20" s="5" t="s">
        <v>55</v>
      </c>
      <c r="G20" s="1" t="str">
        <f>HYPERLINK("https://www.immobilienscout24.de/expose/161050974")</f>
        <v>https://www.immobilienscout24.de/expose/161050974</v>
      </c>
      <c r="H20">
        <v>19</v>
      </c>
      <c r="I20" t="s">
        <v>58</v>
      </c>
      <c r="J20">
        <v>325</v>
      </c>
      <c r="K20" s="14" t="s">
        <v>73</v>
      </c>
    </row>
    <row r="21" spans="1:11" ht="15.6" x14ac:dyDescent="0.3">
      <c r="A21" s="13">
        <v>20</v>
      </c>
      <c r="B21" t="s">
        <v>16</v>
      </c>
      <c r="C21" t="s">
        <v>17</v>
      </c>
      <c r="D21" s="9" t="s">
        <v>18</v>
      </c>
      <c r="E21" s="9" t="s">
        <v>19</v>
      </c>
      <c r="F21" s="2" t="s">
        <v>55</v>
      </c>
      <c r="G21" s="1" t="s">
        <v>20</v>
      </c>
      <c r="H21">
        <v>20</v>
      </c>
      <c r="I21" t="s">
        <v>59</v>
      </c>
      <c r="J21">
        <v>119</v>
      </c>
      <c r="K21" s="14" t="s">
        <v>73</v>
      </c>
    </row>
    <row r="22" spans="1:11" ht="15.6" x14ac:dyDescent="0.3">
      <c r="A22" s="13">
        <v>21</v>
      </c>
      <c r="B22" t="s">
        <v>6</v>
      </c>
      <c r="C22" s="8" t="s">
        <v>44</v>
      </c>
      <c r="D22" s="5" t="s">
        <v>44</v>
      </c>
      <c r="E22" s="9">
        <v>2025</v>
      </c>
      <c r="F22" s="2" t="s">
        <v>55</v>
      </c>
      <c r="G22" s="1" t="s">
        <v>25</v>
      </c>
      <c r="H22">
        <v>21</v>
      </c>
      <c r="I22" t="s">
        <v>59</v>
      </c>
      <c r="J22">
        <v>225</v>
      </c>
      <c r="K22" s="14" t="s">
        <v>73</v>
      </c>
    </row>
    <row r="23" spans="1:11" ht="15.6" x14ac:dyDescent="0.3">
      <c r="A23" s="13">
        <v>22</v>
      </c>
      <c r="B23" t="s">
        <v>6</v>
      </c>
      <c r="C23" s="8" t="s">
        <v>44</v>
      </c>
      <c r="D23" s="5" t="s">
        <v>44</v>
      </c>
      <c r="E23" s="9">
        <v>2006</v>
      </c>
      <c r="F23" s="2" t="s">
        <v>55</v>
      </c>
      <c r="G23" s="1" t="s">
        <v>32</v>
      </c>
      <c r="H23">
        <v>22</v>
      </c>
      <c r="I23" t="s">
        <v>59</v>
      </c>
      <c r="J23">
        <v>175</v>
      </c>
      <c r="K23" s="14" t="s">
        <v>73</v>
      </c>
    </row>
    <row r="24" spans="1:11" ht="15.6" x14ac:dyDescent="0.3">
      <c r="A24" s="13">
        <v>23</v>
      </c>
      <c r="B24" t="s">
        <v>62</v>
      </c>
      <c r="C24" t="s">
        <v>63</v>
      </c>
      <c r="D24" s="5" t="s">
        <v>44</v>
      </c>
      <c r="E24" s="9">
        <v>2021</v>
      </c>
      <c r="F24" s="2" t="s">
        <v>55</v>
      </c>
      <c r="G24" s="1" t="s">
        <v>31</v>
      </c>
      <c r="H24">
        <v>23</v>
      </c>
      <c r="I24" t="s">
        <v>59</v>
      </c>
      <c r="J24">
        <v>240</v>
      </c>
      <c r="K24" s="15" t="s">
        <v>107</v>
      </c>
    </row>
    <row r="25" spans="1:11" x14ac:dyDescent="0.3">
      <c r="A25" s="13">
        <v>24</v>
      </c>
      <c r="B25" t="s">
        <v>70</v>
      </c>
      <c r="C25" t="s">
        <v>71</v>
      </c>
      <c r="D25" s="9" t="s">
        <v>67</v>
      </c>
      <c r="E25" s="9">
        <v>2025</v>
      </c>
      <c r="F25" s="2" t="s">
        <v>55</v>
      </c>
      <c r="G25" t="s">
        <v>69</v>
      </c>
      <c r="H25">
        <v>24</v>
      </c>
      <c r="I25" t="s">
        <v>59</v>
      </c>
      <c r="J25">
        <v>338</v>
      </c>
      <c r="K25" s="14" t="s">
        <v>73</v>
      </c>
    </row>
    <row r="26" spans="1:11" ht="15.6" x14ac:dyDescent="0.3">
      <c r="A26" s="13">
        <v>25</v>
      </c>
      <c r="B26" s="8" t="s">
        <v>56</v>
      </c>
      <c r="C26" s="8" t="s">
        <v>44</v>
      </c>
      <c r="D26" s="5" t="s">
        <v>44</v>
      </c>
      <c r="E26" s="5">
        <v>2025</v>
      </c>
      <c r="F26" s="5" t="s">
        <v>55</v>
      </c>
      <c r="G26" s="1" t="str">
        <f>HYPERLINK("https://www.immobilienscout24.de/expose/161178129")</f>
        <v>https://www.immobilienscout24.de/expose/161178129</v>
      </c>
      <c r="H26">
        <v>25</v>
      </c>
      <c r="I26" t="s">
        <v>59</v>
      </c>
      <c r="J26">
        <v>170</v>
      </c>
      <c r="K26" s="14" t="s">
        <v>73</v>
      </c>
    </row>
    <row r="27" spans="1:11" ht="15.6" x14ac:dyDescent="0.3">
      <c r="A27" s="13">
        <v>26</v>
      </c>
      <c r="B27" s="8" t="s">
        <v>74</v>
      </c>
      <c r="C27" s="8" t="s">
        <v>75</v>
      </c>
      <c r="D27" s="5" t="s">
        <v>44</v>
      </c>
      <c r="E27" s="5">
        <v>2025</v>
      </c>
      <c r="F27" s="5" t="s">
        <v>55</v>
      </c>
      <c r="G27" s="1" t="s">
        <v>76</v>
      </c>
      <c r="H27">
        <v>26</v>
      </c>
      <c r="I27" t="s">
        <v>59</v>
      </c>
      <c r="J27">
        <v>163.69999999999999</v>
      </c>
      <c r="K27" s="14" t="s">
        <v>73</v>
      </c>
    </row>
    <row r="28" spans="1:11" ht="15.6" x14ac:dyDescent="0.3">
      <c r="A28" s="13">
        <v>27</v>
      </c>
      <c r="B28" s="8" t="s">
        <v>79</v>
      </c>
      <c r="C28" s="8" t="s">
        <v>78</v>
      </c>
      <c r="D28" s="5">
        <v>108.2</v>
      </c>
      <c r="E28" s="5">
        <v>2002</v>
      </c>
      <c r="F28" s="5" t="s">
        <v>55</v>
      </c>
      <c r="G28" s="1" t="s">
        <v>77</v>
      </c>
      <c r="H28">
        <v>27</v>
      </c>
      <c r="I28" t="s">
        <v>59</v>
      </c>
      <c r="J28">
        <v>175</v>
      </c>
      <c r="K28" s="14" t="s">
        <v>73</v>
      </c>
    </row>
    <row r="29" spans="1:11" ht="15.6" x14ac:dyDescent="0.3">
      <c r="A29" s="13">
        <v>28</v>
      </c>
      <c r="B29" t="s">
        <v>6</v>
      </c>
      <c r="C29" s="8" t="s">
        <v>44</v>
      </c>
      <c r="D29" s="5" t="s">
        <v>44</v>
      </c>
      <c r="E29" s="9">
        <v>1909</v>
      </c>
      <c r="F29" s="5" t="s">
        <v>55</v>
      </c>
      <c r="G29" s="1"/>
      <c r="H29">
        <v>28</v>
      </c>
      <c r="I29" t="s">
        <v>59</v>
      </c>
      <c r="J29">
        <v>210</v>
      </c>
      <c r="K29" s="14" t="s">
        <v>73</v>
      </c>
    </row>
    <row r="30" spans="1:11" ht="15.6" x14ac:dyDescent="0.3">
      <c r="A30" s="13">
        <v>29</v>
      </c>
      <c r="B30" t="s">
        <v>6</v>
      </c>
      <c r="C30" s="8" t="s">
        <v>44</v>
      </c>
      <c r="D30" s="5" t="s">
        <v>44</v>
      </c>
      <c r="E30" s="9">
        <v>1997</v>
      </c>
      <c r="F30" s="5" t="s">
        <v>55</v>
      </c>
      <c r="G30" s="1"/>
      <c r="H30">
        <v>29</v>
      </c>
      <c r="I30" t="s">
        <v>59</v>
      </c>
      <c r="J30">
        <v>185</v>
      </c>
      <c r="K30" s="14" t="s">
        <v>73</v>
      </c>
    </row>
    <row r="31" spans="1:11" ht="15.6" x14ac:dyDescent="0.3">
      <c r="A31" s="13">
        <v>30</v>
      </c>
      <c r="B31" t="s">
        <v>6</v>
      </c>
      <c r="C31" s="8" t="s">
        <v>44</v>
      </c>
      <c r="D31" s="5" t="s">
        <v>44</v>
      </c>
      <c r="E31" s="9">
        <v>2002</v>
      </c>
      <c r="F31" s="5" t="s">
        <v>55</v>
      </c>
      <c r="G31" s="1"/>
      <c r="H31">
        <v>30</v>
      </c>
      <c r="I31" t="s">
        <v>59</v>
      </c>
      <c r="J31">
        <v>213</v>
      </c>
      <c r="K31" s="14" t="s">
        <v>73</v>
      </c>
    </row>
    <row r="32" spans="1:11" ht="15.6" x14ac:dyDescent="0.3">
      <c r="A32" s="13">
        <v>31</v>
      </c>
      <c r="B32" t="s">
        <v>6</v>
      </c>
      <c r="C32" s="8" t="s">
        <v>44</v>
      </c>
      <c r="D32" s="5" t="s">
        <v>44</v>
      </c>
      <c r="E32" s="9">
        <v>1903</v>
      </c>
      <c r="F32" s="5" t="s">
        <v>55</v>
      </c>
      <c r="G32" s="1"/>
      <c r="H32">
        <v>31</v>
      </c>
      <c r="I32" t="s">
        <v>59</v>
      </c>
      <c r="J32">
        <v>125</v>
      </c>
      <c r="K32" s="14" t="s">
        <v>73</v>
      </c>
    </row>
    <row r="33" spans="1:11" ht="15.6" x14ac:dyDescent="0.3">
      <c r="A33" s="13">
        <v>32</v>
      </c>
      <c r="B33" s="8" t="s">
        <v>82</v>
      </c>
      <c r="C33" s="8" t="s">
        <v>81</v>
      </c>
      <c r="D33" s="5" t="s">
        <v>44</v>
      </c>
      <c r="E33" s="9">
        <v>1952</v>
      </c>
      <c r="F33" s="5" t="s">
        <v>55</v>
      </c>
      <c r="G33" s="1" t="s">
        <v>80</v>
      </c>
      <c r="H33">
        <v>32</v>
      </c>
      <c r="I33" t="s">
        <v>59</v>
      </c>
      <c r="J33">
        <v>165</v>
      </c>
      <c r="K33" s="14" t="s">
        <v>73</v>
      </c>
    </row>
    <row r="34" spans="1:11" ht="15.6" x14ac:dyDescent="0.3">
      <c r="A34" s="13">
        <v>33</v>
      </c>
      <c r="B34" s="8" t="s">
        <v>84</v>
      </c>
      <c r="C34" s="8" t="s">
        <v>83</v>
      </c>
      <c r="D34" s="5" t="s">
        <v>44</v>
      </c>
      <c r="E34" s="9">
        <v>1933</v>
      </c>
      <c r="F34" s="5" t="s">
        <v>55</v>
      </c>
      <c r="G34" s="1" t="s">
        <v>85</v>
      </c>
      <c r="H34">
        <v>33</v>
      </c>
      <c r="I34" t="s">
        <v>59</v>
      </c>
      <c r="J34">
        <v>150</v>
      </c>
      <c r="K34" s="14" t="s">
        <v>73</v>
      </c>
    </row>
    <row r="35" spans="1:11" ht="15.6" x14ac:dyDescent="0.3">
      <c r="A35" s="13">
        <v>34</v>
      </c>
      <c r="B35" s="8" t="s">
        <v>87</v>
      </c>
      <c r="C35" s="8" t="s">
        <v>86</v>
      </c>
      <c r="D35" s="5" t="s">
        <v>44</v>
      </c>
      <c r="E35" s="9">
        <v>2017</v>
      </c>
      <c r="F35" s="5" t="s">
        <v>55</v>
      </c>
      <c r="G35" s="1" t="s">
        <v>88</v>
      </c>
      <c r="H35">
        <v>34</v>
      </c>
      <c r="I35" t="s">
        <v>59</v>
      </c>
      <c r="J35">
        <v>245</v>
      </c>
      <c r="K35" s="14" t="s">
        <v>73</v>
      </c>
    </row>
    <row r="36" spans="1:11" ht="15.6" x14ac:dyDescent="0.3">
      <c r="A36" s="13">
        <v>35</v>
      </c>
      <c r="B36" s="8" t="s">
        <v>91</v>
      </c>
      <c r="C36" s="8" t="s">
        <v>90</v>
      </c>
      <c r="D36" s="5" t="s">
        <v>44</v>
      </c>
      <c r="E36" s="9">
        <v>1911</v>
      </c>
      <c r="F36" s="5" t="s">
        <v>55</v>
      </c>
      <c r="G36" s="1" t="s">
        <v>89</v>
      </c>
      <c r="H36">
        <v>35</v>
      </c>
      <c r="I36" t="s">
        <v>59</v>
      </c>
      <c r="J36">
        <v>175</v>
      </c>
      <c r="K36" s="14" t="s">
        <v>73</v>
      </c>
    </row>
    <row r="37" spans="1:11" ht="15.6" x14ac:dyDescent="0.3">
      <c r="A37" s="13">
        <v>36</v>
      </c>
      <c r="B37" s="8" t="s">
        <v>93</v>
      </c>
      <c r="C37" s="8" t="s">
        <v>92</v>
      </c>
      <c r="D37" s="5" t="s">
        <v>44</v>
      </c>
      <c r="E37" s="9">
        <v>2011</v>
      </c>
      <c r="F37" s="5" t="s">
        <v>55</v>
      </c>
      <c r="G37" s="1" t="s">
        <v>94</v>
      </c>
      <c r="H37">
        <v>36</v>
      </c>
      <c r="I37" t="s">
        <v>59</v>
      </c>
      <c r="J37">
        <v>155</v>
      </c>
      <c r="K37" s="14" t="s">
        <v>73</v>
      </c>
    </row>
    <row r="38" spans="1:11" ht="15.6" x14ac:dyDescent="0.3">
      <c r="A38" s="13">
        <v>37</v>
      </c>
      <c r="B38" s="8" t="s">
        <v>51</v>
      </c>
      <c r="C38" s="8" t="s">
        <v>95</v>
      </c>
      <c r="D38" s="5" t="s">
        <v>44</v>
      </c>
      <c r="E38" s="9">
        <v>1912</v>
      </c>
      <c r="F38" s="5" t="s">
        <v>55</v>
      </c>
      <c r="G38" s="1" t="s">
        <v>96</v>
      </c>
      <c r="H38">
        <v>37</v>
      </c>
      <c r="I38" t="s">
        <v>59</v>
      </c>
      <c r="J38">
        <v>130</v>
      </c>
      <c r="K38" s="14" t="s">
        <v>73</v>
      </c>
    </row>
    <row r="39" spans="1:11" ht="15.6" x14ac:dyDescent="0.3">
      <c r="A39" s="13">
        <v>38</v>
      </c>
      <c r="B39" s="8" t="s">
        <v>99</v>
      </c>
      <c r="C39" s="8" t="s">
        <v>98</v>
      </c>
      <c r="D39" s="5" t="s">
        <v>44</v>
      </c>
      <c r="E39" s="9">
        <v>1972</v>
      </c>
      <c r="F39" s="5" t="s">
        <v>55</v>
      </c>
      <c r="G39" s="1" t="s">
        <v>97</v>
      </c>
      <c r="H39">
        <v>38</v>
      </c>
      <c r="I39" t="s">
        <v>59</v>
      </c>
      <c r="J39">
        <v>302</v>
      </c>
      <c r="K39" s="14" t="s">
        <v>73</v>
      </c>
    </row>
    <row r="40" spans="1:11" ht="15.6" x14ac:dyDescent="0.3">
      <c r="A40" s="13">
        <v>39</v>
      </c>
      <c r="B40" s="8" t="s">
        <v>101</v>
      </c>
      <c r="C40" s="8" t="s">
        <v>100</v>
      </c>
      <c r="D40" s="5" t="s">
        <v>44</v>
      </c>
      <c r="E40" s="9">
        <v>1996</v>
      </c>
      <c r="F40" s="5" t="s">
        <v>55</v>
      </c>
      <c r="G40" s="1" t="s">
        <v>102</v>
      </c>
      <c r="H40">
        <v>39</v>
      </c>
      <c r="I40" t="s">
        <v>59</v>
      </c>
      <c r="J40">
        <v>220</v>
      </c>
      <c r="K40" s="14" t="s">
        <v>73</v>
      </c>
    </row>
    <row r="41" spans="1:11" ht="15.6" x14ac:dyDescent="0.3">
      <c r="A41" s="13">
        <v>40</v>
      </c>
      <c r="B41" s="8" t="s">
        <v>105</v>
      </c>
      <c r="C41" s="8" t="s">
        <v>103</v>
      </c>
      <c r="D41" s="5" t="s">
        <v>44</v>
      </c>
      <c r="E41" s="9">
        <v>1900</v>
      </c>
      <c r="F41" s="5" t="s">
        <v>55</v>
      </c>
      <c r="G41" s="1" t="s">
        <v>104</v>
      </c>
      <c r="H41">
        <v>40</v>
      </c>
      <c r="I41" t="s">
        <v>59</v>
      </c>
      <c r="J41">
        <v>164</v>
      </c>
      <c r="K41" s="14" t="s">
        <v>73</v>
      </c>
    </row>
    <row r="42" spans="1:11" ht="15.6" x14ac:dyDescent="0.3">
      <c r="B42" s="8"/>
      <c r="C42" s="8"/>
      <c r="D42" s="5"/>
      <c r="E42" s="7"/>
      <c r="F42" s="8"/>
      <c r="G42" s="1"/>
    </row>
    <row r="43" spans="1:11" ht="15.6" x14ac:dyDescent="0.3">
      <c r="B43" s="8"/>
      <c r="C43" s="8"/>
      <c r="D43" s="5"/>
      <c r="F43" s="5"/>
      <c r="G43" s="1"/>
    </row>
    <row r="44" spans="1:11" ht="15.6" x14ac:dyDescent="0.3">
      <c r="B44" s="8"/>
      <c r="C44" s="8"/>
      <c r="D44" s="5"/>
      <c r="F44" s="5"/>
      <c r="G44" s="1"/>
    </row>
    <row r="45" spans="1:11" ht="15.6" x14ac:dyDescent="0.3">
      <c r="B45" s="8"/>
      <c r="C45" s="8"/>
      <c r="D45" s="5"/>
      <c r="F45" s="5"/>
      <c r="G45" s="1"/>
    </row>
  </sheetData>
  <phoneticPr fontId="6" type="noConversion"/>
  <hyperlinks>
    <hyperlink ref="G19" r:id="rId1" xr:uid="{00000000-0004-0000-0000-000001000000}"/>
    <hyperlink ref="G9" r:id="rId2" xr:uid="{00000000-0004-0000-0000-000003000000}"/>
    <hyperlink ref="G21" r:id="rId3" xr:uid="{00000000-0004-0000-0000-000004000000}"/>
    <hyperlink ref="G13" r:id="rId4" xr:uid="{00000000-0004-0000-0000-000008000000}"/>
    <hyperlink ref="G22" r:id="rId5" xr:uid="{00000000-0004-0000-0000-00000C000000}"/>
    <hyperlink ref="G12" r:id="rId6" xr:uid="{00000000-0004-0000-0000-000010000000}"/>
    <hyperlink ref="G24" r:id="rId7" xr:uid="{00000000-0004-0000-0000-000011000000}"/>
    <hyperlink ref="G23" r:id="rId8" xr:uid="{00000000-0004-0000-0000-000014000000}"/>
    <hyperlink ref="G5" r:id="rId9" xr:uid="{00000000-0004-0000-0000-000015000000}"/>
    <hyperlink ref="G20" r:id="rId10" display="https://www.immobilienscout24.de/expose/161050974" xr:uid="{EA19A177-7A51-4077-A2CE-6C103B7E708B}"/>
    <hyperlink ref="G16" r:id="rId11" display="https://www.immobilienscout24.de/expose/161933067" xr:uid="{060410A3-818A-417D-967D-2FBBD762F900}"/>
    <hyperlink ref="G4" r:id="rId12" display="https://www.immobilienscout24.de/expose/154289519" xr:uid="{00F3F80D-15A8-444D-8E73-A67E278D80F7}"/>
    <hyperlink ref="G11" r:id="rId13" display="https://www.immobilienscout24.de/expose/160046119" xr:uid="{A44C7D2E-B4FB-4484-B7E3-8A626EFFFD18}"/>
    <hyperlink ref="G15" r:id="rId14" display="https://www.immobilienscout24.de/expose/150289878" xr:uid="{34A106E2-A7A7-42EF-8BC8-5EB67CD7D0CC}"/>
    <hyperlink ref="G26" r:id="rId15" display="https://www.immobilienscout24.de/expose/161178129" xr:uid="{CD9DFA5C-FA3F-4A56-8CDC-79533BEADFE2}"/>
  </hyperlinks>
  <pageMargins left="0.75" right="0.75" top="1" bottom="1" header="0.5" footer="0.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ImmoScout24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Thomas</cp:lastModifiedBy>
  <dcterms:created xsi:type="dcterms:W3CDTF">2025-10-22T09:59:42Z</dcterms:created>
  <dcterms:modified xsi:type="dcterms:W3CDTF">2026-06-15T10:35:14Z</dcterms:modified>
</cp:coreProperties>
</file>